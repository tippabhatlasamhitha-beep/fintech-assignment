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cleaned_transactions" sheetId="2" r:id="rId6"/>
    <sheet state="visible" name="merchant_risk_summary" sheetId="3" r:id="rId7"/>
    <sheet state="visible" name="Sheet2" sheetId="4" r:id="rId8"/>
    <sheet state="visible" name="rates" sheetId="5" r:id="rId9"/>
  </sheets>
  <definedNames/>
  <calcPr/>
  <pivotCaches>
    <pivotCache cacheId="0" r:id="rId10"/>
  </pivotCaches>
</workbook>
</file>

<file path=xl/sharedStrings.xml><?xml version="1.0" encoding="utf-8"?>
<sst xmlns="http://schemas.openxmlformats.org/spreadsheetml/2006/main" count="265" uniqueCount="113">
  <si>
    <t>transaction_id</t>
  </si>
  <si>
    <t>transaction_date</t>
  </si>
  <si>
    <t>merchant_name</t>
  </si>
  <si>
    <t>raw_amount</t>
  </si>
  <si>
    <t>currency</t>
  </si>
  <si>
    <t>status</t>
  </si>
  <si>
    <t>risk_score</t>
  </si>
  <si>
    <t>gateway_region</t>
  </si>
  <si>
    <t>user_id</t>
  </si>
  <si>
    <t>payment_method</t>
  </si>
  <si>
    <t>merchant_clean</t>
  </si>
  <si>
    <t>status_clean</t>
  </si>
  <si>
    <t>risk_score_clean</t>
  </si>
  <si>
    <t>region_clean</t>
  </si>
  <si>
    <t>amount_usd</t>
  </si>
  <si>
    <t>high_risk_flag</t>
  </si>
  <si>
    <t>T001</t>
  </si>
  <si>
    <t>alpha mart</t>
  </si>
  <si>
    <t>INR</t>
  </si>
  <si>
    <t>captured</t>
  </si>
  <si>
    <t>score:62</t>
  </si>
  <si>
    <t>APAC</t>
  </si>
  <si>
    <t>U001</t>
  </si>
  <si>
    <t>UPI</t>
  </si>
  <si>
    <t>T002</t>
  </si>
  <si>
    <t>ALPHA MART</t>
  </si>
  <si>
    <t>Captured</t>
  </si>
  <si>
    <t>U002</t>
  </si>
  <si>
    <t>Card</t>
  </si>
  <si>
    <t>T003</t>
  </si>
  <si>
    <t>BETA STORES</t>
  </si>
  <si>
    <t>CAPTURED</t>
  </si>
  <si>
    <t>U003</t>
  </si>
  <si>
    <t>NetBanking</t>
  </si>
  <si>
    <t>T004</t>
  </si>
  <si>
    <t>Beta  Stores</t>
  </si>
  <si>
    <t>failed e05 timeout</t>
  </si>
  <si>
    <t>apac</t>
  </si>
  <si>
    <t>U004</t>
  </si>
  <si>
    <t>T005</t>
  </si>
  <si>
    <t>Alpha Mart</t>
  </si>
  <si>
    <t>T006</t>
  </si>
  <si>
    <t>score:64</t>
  </si>
  <si>
    <t>U005</t>
  </si>
  <si>
    <t>Wallet</t>
  </si>
  <si>
    <t>T007</t>
  </si>
  <si>
    <t>Alpha  Mart</t>
  </si>
  <si>
    <t>chargeback</t>
  </si>
  <si>
    <t>risk-83</t>
  </si>
  <si>
    <t>U006</t>
  </si>
  <si>
    <t>T008</t>
  </si>
  <si>
    <t>U007</t>
  </si>
  <si>
    <t>T009</t>
  </si>
  <si>
    <t>T010</t>
  </si>
  <si>
    <t>Beta Stores</t>
  </si>
  <si>
    <t>risk-77</t>
  </si>
  <si>
    <t>T011</t>
  </si>
  <si>
    <t>FAILED e05 TIMEOUT</t>
  </si>
  <si>
    <t>U008</t>
  </si>
  <si>
    <t>T012</t>
  </si>
  <si>
    <t>risk-61</t>
  </si>
  <si>
    <t>U009</t>
  </si>
  <si>
    <t>T013</t>
  </si>
  <si>
    <t>score:54</t>
  </si>
  <si>
    <t>U010</t>
  </si>
  <si>
    <t>T014</t>
  </si>
  <si>
    <t>risk-73</t>
  </si>
  <si>
    <t>T015</t>
  </si>
  <si>
    <t>score:52</t>
  </si>
  <si>
    <t>T016</t>
  </si>
  <si>
    <t>failed E05 timeout</t>
  </si>
  <si>
    <t>risk-69</t>
  </si>
  <si>
    <t>T017</t>
  </si>
  <si>
    <t>Failed E05 Timeout</t>
  </si>
  <si>
    <t>score:72</t>
  </si>
  <si>
    <t>T018</t>
  </si>
  <si>
    <t>risk-86</t>
  </si>
  <si>
    <t>T019</t>
  </si>
  <si>
    <t>score:67</t>
  </si>
  <si>
    <t>T020</t>
  </si>
  <si>
    <t>T021</t>
  </si>
  <si>
    <t>beta stores</t>
  </si>
  <si>
    <t>score:63</t>
  </si>
  <si>
    <t>T022</t>
  </si>
  <si>
    <t>T023</t>
  </si>
  <si>
    <t>City Pharma</t>
  </si>
  <si>
    <t>EUR</t>
  </si>
  <si>
    <t>EU</t>
  </si>
  <si>
    <t>T024</t>
  </si>
  <si>
    <t>Eco Home</t>
  </si>
  <si>
    <t>score:65</t>
  </si>
  <si>
    <t>T025</t>
  </si>
  <si>
    <t>eu</t>
  </si>
  <si>
    <t>T026</t>
  </si>
  <si>
    <t>T027</t>
  </si>
  <si>
    <t>DELTA TRAVELS</t>
  </si>
  <si>
    <t>USD</t>
  </si>
  <si>
    <t>us</t>
  </si>
  <si>
    <t>T028</t>
  </si>
  <si>
    <t>Delta Travels</t>
  </si>
  <si>
    <t>risk-41</t>
  </si>
  <si>
    <t>US</t>
  </si>
  <si>
    <t>T029</t>
  </si>
  <si>
    <t>delta travels</t>
  </si>
  <si>
    <t>score:58</t>
  </si>
  <si>
    <t>T030</t>
  </si>
  <si>
    <t>score:47</t>
  </si>
  <si>
    <t>COUNTA of transaction_id</t>
  </si>
  <si>
    <t>AVERAGE of risk_score_clean</t>
  </si>
  <si>
    <t>SUM of high_risk_flag</t>
  </si>
  <si>
    <t>Grand Total</t>
  </si>
  <si>
    <t>rate_date</t>
  </si>
  <si>
    <t>usd_rate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</si>
</sst>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P31" sheet="cleaned_transactions"/>
  </cacheSource>
  <cacheFields>
    <cacheField name="transaction_id" numFmtId="0">
      <sharedItems>
        <s v="T001"/>
        <s v="T002"/>
        <s v="T003"/>
        <s v="T004"/>
        <s v="T005"/>
        <s v="T006"/>
        <s v="T007"/>
        <s v="T008"/>
        <s v="T009"/>
        <s v="T010"/>
        <s v="T011"/>
        <s v="T012"/>
        <s v="T013"/>
        <s v="T014"/>
        <s v="T015"/>
        <s v="T016"/>
        <s v="T017"/>
        <s v="T018"/>
        <s v="T019"/>
        <s v="T020"/>
        <s v="T021"/>
        <s v="T022"/>
        <s v="T023"/>
        <s v="T024"/>
        <s v="T025"/>
        <s v="T026"/>
        <s v="T027"/>
        <s v="T028"/>
        <s v="T029"/>
        <s v="T030"/>
      </sharedItems>
    </cacheField>
    <cacheField name="transaction_date" numFmtId="164">
      <sharedItems containsSemiMixedTypes="0" containsDate="1" containsString="0">
        <d v="2026-03-01T00:00:00Z"/>
        <d v="2026-03-02T00:00:00Z"/>
        <d v="2026-03-03T00:00:00Z"/>
        <d v="2026-03-04T00:00:00Z"/>
        <d v="2026-03-05T00:00:00Z"/>
        <d v="2026-03-06T00:00:00Z"/>
      </sharedItems>
    </cacheField>
    <cacheField name="merchant_name" numFmtId="0">
      <sharedItems>
        <s v="alpha mart"/>
        <s v="BETA STORES"/>
        <s v="Beta  Stores"/>
        <s v="Alpha  Mart"/>
        <s v="City Pharma"/>
        <s v="Eco Home"/>
        <s v="DELTA TRAVELS"/>
      </sharedItems>
    </cacheField>
    <cacheField name="raw_amount" numFmtId="0">
      <sharedItems containsSemiMixedTypes="0" containsString="0" containsNumber="1" containsInteger="1">
        <n v="420000.0"/>
        <n v="210000.0"/>
        <n v="510000.0"/>
        <n v="160000.0"/>
        <n v="390000.0"/>
        <n v="275000.0"/>
        <n v="450000.0"/>
        <n v="340000.0"/>
        <n v="125000.0"/>
        <n v="610000.0"/>
        <n v="195000.0"/>
        <n v="250000.0"/>
        <n v="310000.0"/>
        <n v="470000.0"/>
        <n v="130000.0"/>
        <n v="220000.0"/>
        <n v="180000.0"/>
        <n v="145000.0"/>
        <n v="260000.0"/>
        <n v="520000.0"/>
        <n v="330000.0"/>
        <n v="410000.0"/>
        <n v="5200.0"/>
        <n v="6100.0"/>
        <n v="2800.0"/>
        <n v="3300.0"/>
        <n v="7200.0"/>
        <n v="3100.0"/>
        <n v="2500.0"/>
        <n v="1800.0"/>
      </sharedItems>
    </cacheField>
    <cacheField name="currency" numFmtId="0">
      <sharedItems>
        <s v="INR"/>
        <s v="EUR"/>
        <s v="USD"/>
      </sharedItems>
    </cacheField>
    <cacheField name="status" numFmtId="0">
      <sharedItems>
        <s v="captured"/>
        <s v="failed e05 timeout"/>
        <s v="chargeback"/>
      </sharedItems>
    </cacheField>
    <cacheField name="risk_score">
      <sharedItems containsBlank="1" containsMixedTypes="1" containsNumber="1" containsInteger="1">
        <s v="score:62"/>
        <n v="55.0"/>
        <n v="71.0"/>
        <n v="68.0"/>
        <n v="58.0"/>
        <s v="score:64"/>
        <s v="risk-83"/>
        <n v="59.0"/>
        <n v="46.0"/>
        <s v="risk-77"/>
        <m/>
        <s v="risk-61"/>
        <s v="score:54"/>
        <s v="risk-73"/>
        <s v="score:52"/>
        <s v="risk-69"/>
        <s v="score:72"/>
        <s v="risk-86"/>
        <s v="score:67"/>
        <n v="75.0"/>
        <s v="score:63"/>
        <n v="60.0"/>
        <n v="42.0"/>
        <s v="score:65"/>
        <n v="38.0"/>
        <n v="44.0"/>
        <n v="49.0"/>
        <s v="risk-41"/>
        <s v="score:58"/>
        <s v="score:47"/>
      </sharedItems>
    </cacheField>
    <cacheField name="gateway_region" numFmtId="0">
      <sharedItems containsBlank="1">
        <s v="APAC"/>
        <m/>
        <s v="EU"/>
        <s v="us"/>
      </sharedItems>
    </cacheField>
    <cacheField name="user_id" numFmtId="0">
      <sharedItems>
        <s v="U001"/>
        <s v="U002"/>
        <s v="U003"/>
        <s v="U004"/>
        <s v="U005"/>
        <s v="U006"/>
        <s v="U007"/>
        <s v="U008"/>
        <s v="U009"/>
        <s v="U010"/>
      </sharedItems>
    </cacheField>
    <cacheField name="payment_method" numFmtId="0">
      <sharedItems>
        <s v="UPI"/>
        <s v="Card"/>
        <s v="NetBanking"/>
        <s v="Wallet"/>
      </sharedItems>
    </cacheField>
    <cacheField name="merchant_clean" numFmtId="0">
      <sharedItems>
        <s v="Alpha Mart"/>
        <s v="Beta Stores"/>
        <s v="City Pharma"/>
        <s v="Eco Home"/>
        <s v="Delta Travels"/>
      </sharedItems>
    </cacheField>
    <cacheField name="status_clean" numFmtId="0">
      <sharedItems>
        <s v="SUCCESS"/>
        <s v="FAILED"/>
        <s v="CHARGEBACK"/>
      </sharedItems>
    </cacheField>
    <cacheField name="risk_score_clean">
      <sharedItems containsMixedTypes="1" containsNumber="1" containsInteger="1">
        <n v="62.0"/>
        <s v=""/>
        <n v="64.0"/>
        <n v="83.0"/>
        <n v="77.0"/>
        <n v="61.0"/>
        <n v="54.0"/>
        <n v="73.0"/>
        <n v="52.0"/>
        <n v="69.0"/>
        <n v="72.0"/>
        <n v="86.0"/>
        <n v="67.0"/>
        <n v="63.0"/>
        <n v="65.0"/>
        <n v="41.0"/>
        <n v="58.0"/>
        <n v="47.0"/>
      </sharedItems>
    </cacheField>
    <cacheField name="region_clean" numFmtId="0">
      <sharedItems>
        <s v="APAC"/>
        <s v=""/>
        <s v="EU"/>
        <s v="US"/>
      </sharedItems>
    </cacheField>
    <cacheField name="amount_usd" numFmtId="0">
      <sharedItems containsSemiMixedTypes="0" containsString="0" containsNumber="1">
        <n v="4998.0"/>
        <n v="2499.0"/>
        <n v="6069.0"/>
        <n v="1920.0"/>
        <n v="4680.0"/>
        <n v="3300.0"/>
        <n v="5400.0"/>
        <n v="4114.0"/>
        <n v="1512.5"/>
        <n v="7381.0"/>
        <n v="2359.5"/>
        <n v="3000.0"/>
        <n v="3720.0"/>
        <n v="5640.0"/>
        <n v="1560.0"/>
        <n v="2596.0"/>
        <n v="2124.0"/>
        <n v="1711.0"/>
        <n v="3068.0"/>
        <n v="6136.0"/>
        <n v="3927.0000000000005"/>
        <n v="4879.0"/>
        <n v="5616.0"/>
        <n v="6649.000000000001"/>
        <n v="3024.0"/>
        <n v="3597.0000000000005"/>
        <n v="7200.0"/>
        <n v="3100.0"/>
        <n v="2500.0"/>
        <n v="1800.0"/>
      </sharedItems>
    </cacheField>
    <cacheField name="high_risk_flag" numFmtId="0">
      <sharedItems containsSemiMixedTypes="0" containsString="0" containsNumber="1" containsInteger="1">
        <n v="0.0"/>
        <n v="1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merchant_risk_summary" cacheId="0" dataCaption="" compact="0" compactData="0">
  <location ref="A1:D7" firstHeaderRow="0" firstDataRow="2" firstDataCol="0"/>
  <pivotFields>
    <pivotField name="transaction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transaction_date" compact="0" numFmtId="16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erchant_nam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raw_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currency" compact="0" outline="0" multipleItemSelectionAllowed="1" showAll="0">
      <items>
        <item x="0"/>
        <item x="1"/>
        <item x="2"/>
        <item t="default"/>
      </items>
    </pivotField>
    <pivotField name="status" compact="0" outline="0" multipleItemSelectionAllowed="1" showAll="0">
      <items>
        <item x="0"/>
        <item x="1"/>
        <item x="2"/>
        <item t="default"/>
      </items>
    </pivotField>
    <pivotField name="risk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gateway_region" compact="0" outline="0" multipleItemSelectionAllowed="1" showAll="0">
      <items>
        <item x="0"/>
        <item x="1"/>
        <item x="2"/>
        <item x="3"/>
        <item t="default"/>
      </items>
    </pivotField>
    <pivotField name="us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ayment_method" compact="0" outline="0" multipleItemSelectionAllowed="1" showAll="0">
      <items>
        <item x="0"/>
        <item x="1"/>
        <item x="2"/>
        <item x="3"/>
        <item t="default"/>
      </items>
    </pivotField>
    <pivotField name="merchant_clean" axis="axisRow" compact="0" outline="0" multipleItemSelectionAllowed="1" showAll="0" sortType="ascending">
      <items>
        <item x="0"/>
        <item x="1"/>
        <item x="2"/>
        <item x="4"/>
        <item x="3"/>
        <item t="default"/>
      </items>
    </pivotField>
    <pivotField name="status_clean" compact="0" outline="0" multipleItemSelectionAllowed="1" showAll="0">
      <items>
        <item x="0"/>
        <item x="1"/>
        <item x="2"/>
        <item t="default"/>
      </items>
    </pivotField>
    <pivotField name="risk_score_clea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region_clean" compact="0" outline="0" multipleItemSelectionAllowed="1" showAll="0">
      <items>
        <item x="0"/>
        <item x="1"/>
        <item x="2"/>
        <item x="3"/>
        <item t="default"/>
      </items>
    </pivotField>
    <pivotField name="amount_us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high_risk_flag" dataField="1" compact="0" outline="0" multipleItemSelectionAllowed="1" showAll="0">
      <items>
        <item x="0"/>
        <item x="1"/>
        <item t="default"/>
      </items>
    </pivotField>
  </pivotFields>
  <rowFields>
    <field x="10"/>
  </rowFields>
  <colFields>
    <field x="-2"/>
  </colFields>
  <dataFields>
    <dataField name="COUNTA of transaction_id" fld="0" subtotal="count" baseField="0"/>
    <dataField name="AVERAGE of risk_score_clean" fld="12" subtotal="average" baseField="0"/>
    <dataField name="SUM of high_risk_flag" fld="15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2">
        <v>46082.0</v>
      </c>
      <c r="C2" s="1" t="s">
        <v>17</v>
      </c>
      <c r="D2" s="1">
        <v>420000.0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3" t="str">
        <f t="shared" ref="K2:K31" si="1">PROPER(TRIM(C2))</f>
        <v>Alpha Mart</v>
      </c>
      <c r="L2" s="3" t="str">
        <f t="shared" ref="L2:L31" si="2">IF(ISNUMBER(SEARCH("chargeback",F2)), "CHARGEBACK",IF(ISNUMBER(SEARCH("fail",F2)),"FAILED","SUCCESS"))</f>
        <v>SUCCESS</v>
      </c>
      <c r="M2" s="3">
        <f>IFERROR(__xludf.DUMMYFUNCTION("IFERROR(VALUE(REGEXEXTRACT(G2,""\d+"")), """")"),62.0)</f>
        <v>62</v>
      </c>
      <c r="N2" s="3" t="str">
        <f t="shared" ref="N2:N31" si="3">UPPER(H2)</f>
        <v>APAC</v>
      </c>
      <c r="O2" s="3">
        <f t="array" ref="O2">D2 * INDEX(rates!C:C, MATCH(1, (rates!A:A=B2)*(rates!B:B=E2), 0))</f>
        <v>4998</v>
      </c>
      <c r="P2" s="3">
        <f t="shared" ref="P2:P31" si="4">IF(L2="CHARGEBACK",1,IF(M2="",0,IF(M2&gt;=70,1,0)))</f>
        <v>0</v>
      </c>
    </row>
    <row r="3">
      <c r="A3" s="1" t="s">
        <v>24</v>
      </c>
      <c r="B3" s="2">
        <v>46082.0</v>
      </c>
      <c r="C3" s="1" t="s">
        <v>25</v>
      </c>
      <c r="D3" s="1">
        <v>210000.0</v>
      </c>
      <c r="E3" s="1" t="s">
        <v>18</v>
      </c>
      <c r="F3" s="1" t="s">
        <v>26</v>
      </c>
      <c r="G3" s="1">
        <v>55.0</v>
      </c>
      <c r="I3" s="1" t="s">
        <v>27</v>
      </c>
      <c r="J3" s="1" t="s">
        <v>28</v>
      </c>
      <c r="K3" s="3" t="str">
        <f t="shared" si="1"/>
        <v>Alpha Mart</v>
      </c>
      <c r="L3" s="3" t="str">
        <f t="shared" si="2"/>
        <v>SUCCESS</v>
      </c>
      <c r="M3" s="3" t="str">
        <f>IFERROR(__xludf.DUMMYFUNCTION("IFERROR(VALUE(REGEXEXTRACT(G3,""\d+"")), """")"),"")</f>
        <v/>
      </c>
      <c r="N3" s="3" t="str">
        <f t="shared" si="3"/>
        <v/>
      </c>
      <c r="O3" s="3">
        <f t="array" ref="O3">D3 * INDEX(rates!C:C, MATCH(1, (rates!A:A=B3)*(rates!B:B=E3), 0))</f>
        <v>2499</v>
      </c>
      <c r="P3" s="3">
        <f t="shared" si="4"/>
        <v>0</v>
      </c>
    </row>
    <row r="4">
      <c r="A4" s="1" t="s">
        <v>29</v>
      </c>
      <c r="B4" s="2">
        <v>46082.0</v>
      </c>
      <c r="C4" s="1" t="s">
        <v>30</v>
      </c>
      <c r="D4" s="1">
        <v>510000.0</v>
      </c>
      <c r="E4" s="1" t="s">
        <v>18</v>
      </c>
      <c r="F4" s="1" t="s">
        <v>31</v>
      </c>
      <c r="G4" s="1">
        <v>71.0</v>
      </c>
      <c r="H4" s="1" t="s">
        <v>21</v>
      </c>
      <c r="I4" s="1" t="s">
        <v>32</v>
      </c>
      <c r="J4" s="1" t="s">
        <v>33</v>
      </c>
      <c r="K4" s="3" t="str">
        <f t="shared" si="1"/>
        <v>Beta Stores</v>
      </c>
      <c r="L4" s="3" t="str">
        <f t="shared" si="2"/>
        <v>SUCCESS</v>
      </c>
      <c r="M4" s="3" t="str">
        <f>IFERROR(__xludf.DUMMYFUNCTION("IFERROR(VALUE(REGEXEXTRACT(G4,""\d+"")), """")"),"")</f>
        <v/>
      </c>
      <c r="N4" s="3" t="str">
        <f t="shared" si="3"/>
        <v>APAC</v>
      </c>
      <c r="O4" s="3">
        <f t="array" ref="O4">D4 * INDEX(rates!C:C, MATCH(1, (rates!A:A=B4)*(rates!B:B=E4), 0))</f>
        <v>6069</v>
      </c>
      <c r="P4" s="3">
        <f t="shared" si="4"/>
        <v>0</v>
      </c>
    </row>
    <row r="5">
      <c r="A5" s="1" t="s">
        <v>34</v>
      </c>
      <c r="B5" s="2">
        <v>46083.0</v>
      </c>
      <c r="C5" s="1" t="s">
        <v>35</v>
      </c>
      <c r="D5" s="1">
        <v>160000.0</v>
      </c>
      <c r="E5" s="1" t="s">
        <v>18</v>
      </c>
      <c r="F5" s="1" t="s">
        <v>36</v>
      </c>
      <c r="G5" s="1">
        <v>68.0</v>
      </c>
      <c r="H5" s="1" t="s">
        <v>37</v>
      </c>
      <c r="I5" s="1" t="s">
        <v>38</v>
      </c>
      <c r="J5" s="1" t="s">
        <v>28</v>
      </c>
      <c r="K5" s="3" t="str">
        <f t="shared" si="1"/>
        <v>Beta Stores</v>
      </c>
      <c r="L5" s="3" t="str">
        <f t="shared" si="2"/>
        <v>FAILED</v>
      </c>
      <c r="M5" s="3" t="str">
        <f>IFERROR(__xludf.DUMMYFUNCTION("IFERROR(VALUE(REGEXEXTRACT(G5,""\d+"")), """")"),"")</f>
        <v/>
      </c>
      <c r="N5" s="3" t="str">
        <f t="shared" si="3"/>
        <v>APAC</v>
      </c>
      <c r="O5" s="3">
        <f t="array" ref="O5">D5 * INDEX(rates!C:C, MATCH(1, (rates!A:A=B5)*(rates!B:B=E5), 0))</f>
        <v>1920</v>
      </c>
      <c r="P5" s="3">
        <f t="shared" si="4"/>
        <v>0</v>
      </c>
    </row>
    <row r="6">
      <c r="A6" s="1" t="s">
        <v>39</v>
      </c>
      <c r="B6" s="2">
        <v>46083.0</v>
      </c>
      <c r="C6" s="1" t="s">
        <v>40</v>
      </c>
      <c r="D6" s="1">
        <v>390000.0</v>
      </c>
      <c r="E6" s="1" t="s">
        <v>18</v>
      </c>
      <c r="F6" s="1" t="s">
        <v>31</v>
      </c>
      <c r="G6" s="1">
        <v>58.0</v>
      </c>
      <c r="I6" s="1" t="s">
        <v>22</v>
      </c>
      <c r="J6" s="1" t="s">
        <v>23</v>
      </c>
      <c r="K6" s="3" t="str">
        <f t="shared" si="1"/>
        <v>Alpha Mart</v>
      </c>
      <c r="L6" s="3" t="str">
        <f t="shared" si="2"/>
        <v>SUCCESS</v>
      </c>
      <c r="M6" s="3" t="str">
        <f>IFERROR(__xludf.DUMMYFUNCTION("IFERROR(VALUE(REGEXEXTRACT(G6,""\d+"")), """")"),"")</f>
        <v/>
      </c>
      <c r="N6" s="3" t="str">
        <f t="shared" si="3"/>
        <v/>
      </c>
      <c r="O6" s="3">
        <f t="array" ref="O6">D6 * INDEX(rates!C:C, MATCH(1, (rates!A:A=B6)*(rates!B:B=E6), 0))</f>
        <v>4680</v>
      </c>
      <c r="P6" s="3">
        <f t="shared" si="4"/>
        <v>0</v>
      </c>
    </row>
    <row r="7">
      <c r="A7" s="1" t="s">
        <v>41</v>
      </c>
      <c r="B7" s="2">
        <v>46083.0</v>
      </c>
      <c r="C7" s="1" t="s">
        <v>35</v>
      </c>
      <c r="D7" s="1">
        <v>275000.0</v>
      </c>
      <c r="E7" s="1" t="s">
        <v>18</v>
      </c>
      <c r="F7" s="1" t="s">
        <v>26</v>
      </c>
      <c r="G7" s="1" t="s">
        <v>42</v>
      </c>
      <c r="I7" s="1" t="s">
        <v>43</v>
      </c>
      <c r="J7" s="1" t="s">
        <v>44</v>
      </c>
      <c r="K7" s="3" t="str">
        <f t="shared" si="1"/>
        <v>Beta Stores</v>
      </c>
      <c r="L7" s="3" t="str">
        <f t="shared" si="2"/>
        <v>SUCCESS</v>
      </c>
      <c r="M7" s="3">
        <f>IFERROR(__xludf.DUMMYFUNCTION("IFERROR(VALUE(REGEXEXTRACT(G7,""\d+"")), """")"),64.0)</f>
        <v>64</v>
      </c>
      <c r="N7" s="3" t="str">
        <f t="shared" si="3"/>
        <v/>
      </c>
      <c r="O7" s="3">
        <f t="array" ref="O7">D7 * INDEX(rates!C:C, MATCH(1, (rates!A:A=B7)*(rates!B:B=E7), 0))</f>
        <v>3300</v>
      </c>
      <c r="P7" s="3">
        <f t="shared" si="4"/>
        <v>0</v>
      </c>
    </row>
    <row r="8">
      <c r="A8" s="1" t="s">
        <v>45</v>
      </c>
      <c r="B8" s="2">
        <v>46083.0</v>
      </c>
      <c r="C8" s="1" t="s">
        <v>46</v>
      </c>
      <c r="D8" s="1">
        <v>450000.0</v>
      </c>
      <c r="E8" s="1" t="s">
        <v>18</v>
      </c>
      <c r="F8" s="1" t="s">
        <v>47</v>
      </c>
      <c r="G8" s="1" t="s">
        <v>48</v>
      </c>
      <c r="H8" s="1" t="s">
        <v>21</v>
      </c>
      <c r="I8" s="1" t="s">
        <v>49</v>
      </c>
      <c r="J8" s="1" t="s">
        <v>28</v>
      </c>
      <c r="K8" s="3" t="str">
        <f t="shared" si="1"/>
        <v>Alpha Mart</v>
      </c>
      <c r="L8" s="3" t="str">
        <f t="shared" si="2"/>
        <v>CHARGEBACK</v>
      </c>
      <c r="M8" s="3">
        <f>IFERROR(__xludf.DUMMYFUNCTION("IFERROR(VALUE(REGEXEXTRACT(G8,""\d+"")), """")"),83.0)</f>
        <v>83</v>
      </c>
      <c r="N8" s="3" t="str">
        <f t="shared" si="3"/>
        <v>APAC</v>
      </c>
      <c r="O8" s="3">
        <f t="array" ref="O8">D8 * INDEX(rates!C:C, MATCH(1, (rates!A:A=B8)*(rates!B:B=E8), 0))</f>
        <v>5400</v>
      </c>
      <c r="P8" s="3">
        <f t="shared" si="4"/>
        <v>1</v>
      </c>
    </row>
    <row r="9">
      <c r="A9" s="1" t="s">
        <v>50</v>
      </c>
      <c r="B9" s="2">
        <v>46084.0</v>
      </c>
      <c r="C9" s="1" t="s">
        <v>30</v>
      </c>
      <c r="D9" s="1">
        <v>340000.0</v>
      </c>
      <c r="E9" s="1" t="s">
        <v>18</v>
      </c>
      <c r="F9" s="1" t="s">
        <v>26</v>
      </c>
      <c r="G9" s="1">
        <v>59.0</v>
      </c>
      <c r="I9" s="1" t="s">
        <v>51</v>
      </c>
      <c r="J9" s="1" t="s">
        <v>23</v>
      </c>
      <c r="K9" s="3" t="str">
        <f t="shared" si="1"/>
        <v>Beta Stores</v>
      </c>
      <c r="L9" s="3" t="str">
        <f t="shared" si="2"/>
        <v>SUCCESS</v>
      </c>
      <c r="M9" s="3" t="str">
        <f>IFERROR(__xludf.DUMMYFUNCTION("IFERROR(VALUE(REGEXEXTRACT(G9,""\d+"")), """")"),"")</f>
        <v/>
      </c>
      <c r="N9" s="3" t="str">
        <f t="shared" si="3"/>
        <v/>
      </c>
      <c r="O9" s="3">
        <f t="array" ref="O9">D9 * INDEX(rates!C:C, MATCH(1, (rates!A:A=B9)*(rates!B:B=E9), 0))</f>
        <v>4114</v>
      </c>
      <c r="P9" s="3">
        <f t="shared" si="4"/>
        <v>0</v>
      </c>
    </row>
    <row r="10">
      <c r="A10" s="1" t="s">
        <v>52</v>
      </c>
      <c r="B10" s="2">
        <v>46084.0</v>
      </c>
      <c r="C10" s="1" t="s">
        <v>40</v>
      </c>
      <c r="D10" s="1">
        <v>125000.0</v>
      </c>
      <c r="E10" s="1" t="s">
        <v>18</v>
      </c>
      <c r="F10" s="1" t="s">
        <v>19</v>
      </c>
      <c r="G10" s="1">
        <v>46.0</v>
      </c>
      <c r="H10" s="1" t="s">
        <v>21</v>
      </c>
      <c r="I10" s="1" t="s">
        <v>27</v>
      </c>
      <c r="J10" s="1" t="s">
        <v>44</v>
      </c>
      <c r="K10" s="3" t="str">
        <f t="shared" si="1"/>
        <v>Alpha Mart</v>
      </c>
      <c r="L10" s="3" t="str">
        <f t="shared" si="2"/>
        <v>SUCCESS</v>
      </c>
      <c r="M10" s="3" t="str">
        <f>IFERROR(__xludf.DUMMYFUNCTION("IFERROR(VALUE(REGEXEXTRACT(G10,""\d+"")), """")"),"")</f>
        <v/>
      </c>
      <c r="N10" s="3" t="str">
        <f t="shared" si="3"/>
        <v>APAC</v>
      </c>
      <c r="O10" s="3">
        <f t="array" ref="O10">D10 * INDEX(rates!C:C, MATCH(1, (rates!A:A=B10)*(rates!B:B=E10), 0))</f>
        <v>1512.5</v>
      </c>
      <c r="P10" s="3">
        <f t="shared" si="4"/>
        <v>0</v>
      </c>
    </row>
    <row r="11">
      <c r="A11" s="1" t="s">
        <v>53</v>
      </c>
      <c r="B11" s="2">
        <v>46084.0</v>
      </c>
      <c r="C11" s="1" t="s">
        <v>54</v>
      </c>
      <c r="D11" s="1">
        <v>610000.0</v>
      </c>
      <c r="E11" s="1" t="s">
        <v>18</v>
      </c>
      <c r="F11" s="1" t="s">
        <v>19</v>
      </c>
      <c r="G11" s="1" t="s">
        <v>55</v>
      </c>
      <c r="I11" s="1" t="s">
        <v>32</v>
      </c>
      <c r="J11" s="1" t="s">
        <v>28</v>
      </c>
      <c r="K11" s="3" t="str">
        <f t="shared" si="1"/>
        <v>Beta Stores</v>
      </c>
      <c r="L11" s="3" t="str">
        <f t="shared" si="2"/>
        <v>SUCCESS</v>
      </c>
      <c r="M11" s="3">
        <f>IFERROR(__xludf.DUMMYFUNCTION("IFERROR(VALUE(REGEXEXTRACT(G11,""\d+"")), """")"),77.0)</f>
        <v>77</v>
      </c>
      <c r="N11" s="3" t="str">
        <f t="shared" si="3"/>
        <v/>
      </c>
      <c r="O11" s="3">
        <f t="array" ref="O11">D11 * INDEX(rates!C:C, MATCH(1, (rates!A:A=B11)*(rates!B:B=E11), 0))</f>
        <v>7381</v>
      </c>
      <c r="P11" s="3">
        <f t="shared" si="4"/>
        <v>1</v>
      </c>
    </row>
    <row r="12">
      <c r="A12" s="1" t="s">
        <v>56</v>
      </c>
      <c r="B12" s="2">
        <v>46084.0</v>
      </c>
      <c r="C12" s="1" t="s">
        <v>46</v>
      </c>
      <c r="D12" s="1">
        <v>195000.0</v>
      </c>
      <c r="E12" s="1" t="s">
        <v>18</v>
      </c>
      <c r="F12" s="1" t="s">
        <v>57</v>
      </c>
      <c r="I12" s="1" t="s">
        <v>58</v>
      </c>
      <c r="J12" s="1" t="s">
        <v>23</v>
      </c>
      <c r="K12" s="3" t="str">
        <f t="shared" si="1"/>
        <v>Alpha Mart</v>
      </c>
      <c r="L12" s="3" t="str">
        <f t="shared" si="2"/>
        <v>FAILED</v>
      </c>
      <c r="M12" s="3" t="str">
        <f>IFERROR(__xludf.DUMMYFUNCTION("IFERROR(VALUE(REGEXEXTRACT(G12,""\d+"")), """")"),"")</f>
        <v/>
      </c>
      <c r="N12" s="3" t="str">
        <f t="shared" si="3"/>
        <v/>
      </c>
      <c r="O12" s="3">
        <f t="array" ref="O12">D12 * INDEX(rates!C:C, MATCH(1, (rates!A:A=B12)*(rates!B:B=E12), 0))</f>
        <v>2359.5</v>
      </c>
      <c r="P12" s="3">
        <f t="shared" si="4"/>
        <v>0</v>
      </c>
    </row>
    <row r="13">
      <c r="A13" s="1" t="s">
        <v>59</v>
      </c>
      <c r="B13" s="2">
        <v>46085.0</v>
      </c>
      <c r="C13" s="1" t="s">
        <v>35</v>
      </c>
      <c r="D13" s="1">
        <v>250000.0</v>
      </c>
      <c r="E13" s="1" t="s">
        <v>18</v>
      </c>
      <c r="F13" s="1" t="s">
        <v>19</v>
      </c>
      <c r="G13" s="1" t="s">
        <v>60</v>
      </c>
      <c r="H13" s="1" t="s">
        <v>21</v>
      </c>
      <c r="I13" s="1" t="s">
        <v>61</v>
      </c>
      <c r="J13" s="1" t="s">
        <v>28</v>
      </c>
      <c r="K13" s="3" t="str">
        <f t="shared" si="1"/>
        <v>Beta Stores</v>
      </c>
      <c r="L13" s="3" t="str">
        <f t="shared" si="2"/>
        <v>SUCCESS</v>
      </c>
      <c r="M13" s="3">
        <f>IFERROR(__xludf.DUMMYFUNCTION("IFERROR(VALUE(REGEXEXTRACT(G13,""\d+"")), """")"),61.0)</f>
        <v>61</v>
      </c>
      <c r="N13" s="3" t="str">
        <f t="shared" si="3"/>
        <v>APAC</v>
      </c>
      <c r="O13" s="3">
        <f t="array" ref="O13">D13 * INDEX(rates!C:C, MATCH(1, (rates!A:A=B13)*(rates!B:B=E13), 0))</f>
        <v>3000</v>
      </c>
      <c r="P13" s="3">
        <f t="shared" si="4"/>
        <v>0</v>
      </c>
    </row>
    <row r="14">
      <c r="A14" s="1" t="s">
        <v>62</v>
      </c>
      <c r="B14" s="2">
        <v>46085.0</v>
      </c>
      <c r="C14" s="1" t="s">
        <v>17</v>
      </c>
      <c r="D14" s="1">
        <v>310000.0</v>
      </c>
      <c r="E14" s="1" t="s">
        <v>18</v>
      </c>
      <c r="F14" s="1" t="s">
        <v>19</v>
      </c>
      <c r="G14" s="1" t="s">
        <v>63</v>
      </c>
      <c r="H14" s="1" t="s">
        <v>21</v>
      </c>
      <c r="I14" s="1" t="s">
        <v>64</v>
      </c>
      <c r="J14" s="1" t="s">
        <v>23</v>
      </c>
      <c r="K14" s="3" t="str">
        <f t="shared" si="1"/>
        <v>Alpha Mart</v>
      </c>
      <c r="L14" s="3" t="str">
        <f t="shared" si="2"/>
        <v>SUCCESS</v>
      </c>
      <c r="M14" s="3">
        <f>IFERROR(__xludf.DUMMYFUNCTION("IFERROR(VALUE(REGEXEXTRACT(G14,""\d+"")), """")"),54.0)</f>
        <v>54</v>
      </c>
      <c r="N14" s="3" t="str">
        <f t="shared" si="3"/>
        <v>APAC</v>
      </c>
      <c r="O14" s="3">
        <f t="array" ref="O14">D14 * INDEX(rates!C:C, MATCH(1, (rates!A:A=B14)*(rates!B:B=E14), 0))</f>
        <v>3720</v>
      </c>
      <c r="P14" s="3">
        <f t="shared" si="4"/>
        <v>0</v>
      </c>
    </row>
    <row r="15">
      <c r="A15" s="1" t="s">
        <v>65</v>
      </c>
      <c r="B15" s="2">
        <v>46085.0</v>
      </c>
      <c r="C15" s="1" t="s">
        <v>35</v>
      </c>
      <c r="D15" s="1">
        <v>470000.0</v>
      </c>
      <c r="E15" s="1" t="s">
        <v>18</v>
      </c>
      <c r="F15" s="1" t="s">
        <v>19</v>
      </c>
      <c r="G15" s="1" t="s">
        <v>66</v>
      </c>
      <c r="H15" s="1" t="s">
        <v>21</v>
      </c>
      <c r="I15" s="1" t="s">
        <v>22</v>
      </c>
      <c r="J15" s="1" t="s">
        <v>33</v>
      </c>
      <c r="K15" s="3" t="str">
        <f t="shared" si="1"/>
        <v>Beta Stores</v>
      </c>
      <c r="L15" s="3" t="str">
        <f t="shared" si="2"/>
        <v>SUCCESS</v>
      </c>
      <c r="M15" s="3">
        <f>IFERROR(__xludf.DUMMYFUNCTION("IFERROR(VALUE(REGEXEXTRACT(G15,""\d+"")), """")"),73.0)</f>
        <v>73</v>
      </c>
      <c r="N15" s="3" t="str">
        <f t="shared" si="3"/>
        <v>APAC</v>
      </c>
      <c r="O15" s="3">
        <f t="array" ref="O15">D15 * INDEX(rates!C:C, MATCH(1, (rates!A:A=B15)*(rates!B:B=E15), 0))</f>
        <v>5640</v>
      </c>
      <c r="P15" s="3">
        <f t="shared" si="4"/>
        <v>1</v>
      </c>
    </row>
    <row r="16">
      <c r="A16" s="1" t="s">
        <v>67</v>
      </c>
      <c r="B16" s="2">
        <v>46085.0</v>
      </c>
      <c r="C16" s="1" t="s">
        <v>40</v>
      </c>
      <c r="D16" s="1">
        <v>130000.0</v>
      </c>
      <c r="E16" s="1" t="s">
        <v>18</v>
      </c>
      <c r="F16" s="1" t="s">
        <v>19</v>
      </c>
      <c r="G16" s="1" t="s">
        <v>68</v>
      </c>
      <c r="I16" s="1" t="s">
        <v>27</v>
      </c>
      <c r="J16" s="1" t="s">
        <v>28</v>
      </c>
      <c r="K16" s="3" t="str">
        <f t="shared" si="1"/>
        <v>Alpha Mart</v>
      </c>
      <c r="L16" s="3" t="str">
        <f t="shared" si="2"/>
        <v>SUCCESS</v>
      </c>
      <c r="M16" s="3">
        <f>IFERROR(__xludf.DUMMYFUNCTION("IFERROR(VALUE(REGEXEXTRACT(G16,""\d+"")), """")"),52.0)</f>
        <v>52</v>
      </c>
      <c r="N16" s="3" t="str">
        <f t="shared" si="3"/>
        <v/>
      </c>
      <c r="O16" s="3">
        <f t="array" ref="O16">D16 * INDEX(rates!C:C, MATCH(1, (rates!A:A=B16)*(rates!B:B=E16), 0))</f>
        <v>1560</v>
      </c>
      <c r="P16" s="3">
        <f t="shared" si="4"/>
        <v>0</v>
      </c>
    </row>
    <row r="17">
      <c r="A17" s="1" t="s">
        <v>69</v>
      </c>
      <c r="B17" s="2">
        <v>46086.0</v>
      </c>
      <c r="C17" s="1" t="s">
        <v>35</v>
      </c>
      <c r="D17" s="1">
        <v>220000.0</v>
      </c>
      <c r="E17" s="1" t="s">
        <v>18</v>
      </c>
      <c r="F17" s="1" t="s">
        <v>70</v>
      </c>
      <c r="G17" s="1" t="s">
        <v>71</v>
      </c>
      <c r="I17" s="1" t="s">
        <v>58</v>
      </c>
      <c r="J17" s="1" t="s">
        <v>28</v>
      </c>
      <c r="K17" s="3" t="str">
        <f t="shared" si="1"/>
        <v>Beta Stores</v>
      </c>
      <c r="L17" s="3" t="str">
        <f t="shared" si="2"/>
        <v>FAILED</v>
      </c>
      <c r="M17" s="3">
        <f>IFERROR(__xludf.DUMMYFUNCTION("IFERROR(VALUE(REGEXEXTRACT(G17,""\d+"")), """")"),69.0)</f>
        <v>69</v>
      </c>
      <c r="N17" s="3" t="str">
        <f t="shared" si="3"/>
        <v/>
      </c>
      <c r="O17" s="3">
        <f t="array" ref="O17">D17 * INDEX(rates!C:C, MATCH(1, (rates!A:A=B17)*(rates!B:B=E17), 0))</f>
        <v>2596</v>
      </c>
      <c r="P17" s="3">
        <f t="shared" si="4"/>
        <v>0</v>
      </c>
    </row>
    <row r="18">
      <c r="A18" s="1" t="s">
        <v>72</v>
      </c>
      <c r="B18" s="2">
        <v>46086.0</v>
      </c>
      <c r="C18" s="1" t="s">
        <v>35</v>
      </c>
      <c r="D18" s="1">
        <v>180000.0</v>
      </c>
      <c r="E18" s="1" t="s">
        <v>18</v>
      </c>
      <c r="F18" s="1" t="s">
        <v>73</v>
      </c>
      <c r="G18" s="1" t="s">
        <v>74</v>
      </c>
      <c r="H18" s="1" t="s">
        <v>37</v>
      </c>
      <c r="I18" s="1" t="s">
        <v>58</v>
      </c>
      <c r="J18" s="1" t="s">
        <v>28</v>
      </c>
      <c r="K18" s="3" t="str">
        <f t="shared" si="1"/>
        <v>Beta Stores</v>
      </c>
      <c r="L18" s="3" t="str">
        <f t="shared" si="2"/>
        <v>FAILED</v>
      </c>
      <c r="M18" s="3">
        <f>IFERROR(__xludf.DUMMYFUNCTION("IFERROR(VALUE(REGEXEXTRACT(G18,""\d+"")), """")"),72.0)</f>
        <v>72</v>
      </c>
      <c r="N18" s="3" t="str">
        <f t="shared" si="3"/>
        <v>APAC</v>
      </c>
      <c r="O18" s="3">
        <f t="array" ref="O18">D18 * INDEX(rates!C:C, MATCH(1, (rates!A:A=B18)*(rates!B:B=E18), 0))</f>
        <v>2124</v>
      </c>
      <c r="P18" s="3">
        <f t="shared" si="4"/>
        <v>1</v>
      </c>
    </row>
    <row r="19">
      <c r="A19" s="1" t="s">
        <v>75</v>
      </c>
      <c r="B19" s="2">
        <v>46086.0</v>
      </c>
      <c r="C19" s="1" t="s">
        <v>30</v>
      </c>
      <c r="D19" s="1">
        <v>145000.0</v>
      </c>
      <c r="E19" s="1" t="s">
        <v>18</v>
      </c>
      <c r="F19" s="1" t="s">
        <v>47</v>
      </c>
      <c r="G19" s="1" t="s">
        <v>76</v>
      </c>
      <c r="H19" s="1" t="s">
        <v>21</v>
      </c>
      <c r="I19" s="1" t="s">
        <v>58</v>
      </c>
      <c r="J19" s="1" t="s">
        <v>23</v>
      </c>
      <c r="K19" s="3" t="str">
        <f t="shared" si="1"/>
        <v>Beta Stores</v>
      </c>
      <c r="L19" s="3" t="str">
        <f t="shared" si="2"/>
        <v>CHARGEBACK</v>
      </c>
      <c r="M19" s="3">
        <f>IFERROR(__xludf.DUMMYFUNCTION("IFERROR(VALUE(REGEXEXTRACT(G19,""\d+"")), """")"),86.0)</f>
        <v>86</v>
      </c>
      <c r="N19" s="3" t="str">
        <f t="shared" si="3"/>
        <v>APAC</v>
      </c>
      <c r="O19" s="3">
        <f t="array" ref="O19">D19 * INDEX(rates!C:C, MATCH(1, (rates!A:A=B19)*(rates!B:B=E19), 0))</f>
        <v>1711</v>
      </c>
      <c r="P19" s="3">
        <f t="shared" si="4"/>
        <v>1</v>
      </c>
    </row>
    <row r="20">
      <c r="A20" s="1" t="s">
        <v>77</v>
      </c>
      <c r="B20" s="2">
        <v>46086.0</v>
      </c>
      <c r="C20" s="1" t="s">
        <v>46</v>
      </c>
      <c r="D20" s="1">
        <v>260000.0</v>
      </c>
      <c r="E20" s="1" t="s">
        <v>18</v>
      </c>
      <c r="F20" s="1" t="s">
        <v>73</v>
      </c>
      <c r="G20" s="1" t="s">
        <v>78</v>
      </c>
      <c r="H20" s="1" t="s">
        <v>37</v>
      </c>
      <c r="I20" s="1" t="s">
        <v>58</v>
      </c>
      <c r="J20" s="1" t="s">
        <v>44</v>
      </c>
      <c r="K20" s="3" t="str">
        <f t="shared" si="1"/>
        <v>Alpha Mart</v>
      </c>
      <c r="L20" s="3" t="str">
        <f t="shared" si="2"/>
        <v>FAILED</v>
      </c>
      <c r="M20" s="3">
        <f>IFERROR(__xludf.DUMMYFUNCTION("IFERROR(VALUE(REGEXEXTRACT(G20,""\d+"")), """")"),67.0)</f>
        <v>67</v>
      </c>
      <c r="N20" s="3" t="str">
        <f t="shared" si="3"/>
        <v>APAC</v>
      </c>
      <c r="O20" s="3">
        <f t="array" ref="O20">D20 * INDEX(rates!C:C, MATCH(1, (rates!A:A=B20)*(rates!B:B=E20), 0))</f>
        <v>3068</v>
      </c>
      <c r="P20" s="3">
        <f t="shared" si="4"/>
        <v>0</v>
      </c>
    </row>
    <row r="21">
      <c r="A21" s="1" t="s">
        <v>79</v>
      </c>
      <c r="B21" s="2">
        <v>46086.0</v>
      </c>
      <c r="C21" s="1" t="s">
        <v>40</v>
      </c>
      <c r="D21" s="1">
        <v>520000.0</v>
      </c>
      <c r="E21" s="1" t="s">
        <v>18</v>
      </c>
      <c r="F21" s="1" t="s">
        <v>26</v>
      </c>
      <c r="G21" s="1">
        <v>75.0</v>
      </c>
      <c r="H21" s="1" t="s">
        <v>21</v>
      </c>
      <c r="I21" s="1" t="s">
        <v>43</v>
      </c>
      <c r="J21" s="1" t="s">
        <v>23</v>
      </c>
      <c r="K21" s="3" t="str">
        <f t="shared" si="1"/>
        <v>Alpha Mart</v>
      </c>
      <c r="L21" s="3" t="str">
        <f t="shared" si="2"/>
        <v>SUCCESS</v>
      </c>
      <c r="M21" s="3" t="str">
        <f>IFERROR(__xludf.DUMMYFUNCTION("IFERROR(VALUE(REGEXEXTRACT(G21,""\d+"")), """")"),"")</f>
        <v/>
      </c>
      <c r="N21" s="3" t="str">
        <f t="shared" si="3"/>
        <v>APAC</v>
      </c>
      <c r="O21" s="3">
        <f t="array" ref="O21">D21 * INDEX(rates!C:C, MATCH(1, (rates!A:A=B21)*(rates!B:B=E21), 0))</f>
        <v>6136</v>
      </c>
      <c r="P21" s="3">
        <f t="shared" si="4"/>
        <v>0</v>
      </c>
    </row>
    <row r="22">
      <c r="A22" s="1" t="s">
        <v>80</v>
      </c>
      <c r="B22" s="2">
        <v>46087.0</v>
      </c>
      <c r="C22" s="1" t="s">
        <v>81</v>
      </c>
      <c r="D22" s="1">
        <v>330000.0</v>
      </c>
      <c r="E22" s="1" t="s">
        <v>18</v>
      </c>
      <c r="F22" s="1" t="s">
        <v>19</v>
      </c>
      <c r="G22" s="1" t="s">
        <v>82</v>
      </c>
      <c r="I22" s="1" t="s">
        <v>49</v>
      </c>
      <c r="J22" s="1" t="s">
        <v>28</v>
      </c>
      <c r="K22" s="3" t="str">
        <f t="shared" si="1"/>
        <v>Beta Stores</v>
      </c>
      <c r="L22" s="3" t="str">
        <f t="shared" si="2"/>
        <v>SUCCESS</v>
      </c>
      <c r="M22" s="3">
        <f>IFERROR(__xludf.DUMMYFUNCTION("IFERROR(VALUE(REGEXEXTRACT(G22,""\d+"")), """")"),63.0)</f>
        <v>63</v>
      </c>
      <c r="N22" s="3" t="str">
        <f t="shared" si="3"/>
        <v/>
      </c>
      <c r="O22" s="3">
        <f t="array" ref="O22">D22 * INDEX(rates!C:C, MATCH(1, (rates!A:A=B22)*(rates!B:B=E22), 0))</f>
        <v>3927</v>
      </c>
      <c r="P22" s="3">
        <f t="shared" si="4"/>
        <v>0</v>
      </c>
    </row>
    <row r="23">
      <c r="A23" s="1" t="s">
        <v>83</v>
      </c>
      <c r="B23" s="2">
        <v>46087.0</v>
      </c>
      <c r="C23" s="1" t="s">
        <v>25</v>
      </c>
      <c r="D23" s="1">
        <v>410000.0</v>
      </c>
      <c r="E23" s="1" t="s">
        <v>18</v>
      </c>
      <c r="F23" s="1" t="s">
        <v>19</v>
      </c>
      <c r="G23" s="1">
        <v>60.0</v>
      </c>
      <c r="H23" s="1" t="s">
        <v>21</v>
      </c>
      <c r="I23" s="1" t="s">
        <v>51</v>
      </c>
      <c r="J23" s="1" t="s">
        <v>23</v>
      </c>
      <c r="K23" s="3" t="str">
        <f t="shared" si="1"/>
        <v>Alpha Mart</v>
      </c>
      <c r="L23" s="3" t="str">
        <f t="shared" si="2"/>
        <v>SUCCESS</v>
      </c>
      <c r="M23" s="3" t="str">
        <f>IFERROR(__xludf.DUMMYFUNCTION("IFERROR(VALUE(REGEXEXTRACT(G23,""\d+"")), """")"),"")</f>
        <v/>
      </c>
      <c r="N23" s="3" t="str">
        <f t="shared" si="3"/>
        <v>APAC</v>
      </c>
      <c r="O23" s="3">
        <f t="array" ref="O23">D23 * INDEX(rates!C:C, MATCH(1, (rates!A:A=B23)*(rates!B:B=E23), 0))</f>
        <v>4879</v>
      </c>
      <c r="P23" s="3">
        <f t="shared" si="4"/>
        <v>0</v>
      </c>
    </row>
    <row r="24">
      <c r="A24" s="1" t="s">
        <v>84</v>
      </c>
      <c r="B24" s="2">
        <v>46082.0</v>
      </c>
      <c r="C24" s="1" t="s">
        <v>85</v>
      </c>
      <c r="D24" s="1">
        <v>5200.0</v>
      </c>
      <c r="E24" s="1" t="s">
        <v>86</v>
      </c>
      <c r="F24" s="1" t="s">
        <v>26</v>
      </c>
      <c r="G24" s="1">
        <v>42.0</v>
      </c>
      <c r="H24" s="1" t="s">
        <v>87</v>
      </c>
      <c r="I24" s="1" t="s">
        <v>32</v>
      </c>
      <c r="J24" s="1" t="s">
        <v>28</v>
      </c>
      <c r="K24" s="3" t="str">
        <f t="shared" si="1"/>
        <v>City Pharma</v>
      </c>
      <c r="L24" s="3" t="str">
        <f t="shared" si="2"/>
        <v>SUCCESS</v>
      </c>
      <c r="M24" s="3" t="str">
        <f>IFERROR(__xludf.DUMMYFUNCTION("IFERROR(VALUE(REGEXEXTRACT(G24,""\d+"")), """")"),"")</f>
        <v/>
      </c>
      <c r="N24" s="3" t="str">
        <f t="shared" si="3"/>
        <v>EU</v>
      </c>
      <c r="O24" s="3">
        <f t="array" ref="O24">D24 * INDEX(rates!C:C, MATCH(1, (rates!A:A=B24)*(rates!B:B=E24), 0))</f>
        <v>5616</v>
      </c>
      <c r="P24" s="3">
        <f t="shared" si="4"/>
        <v>0</v>
      </c>
    </row>
    <row r="25">
      <c r="A25" s="1" t="s">
        <v>88</v>
      </c>
      <c r="B25" s="2">
        <v>46083.0</v>
      </c>
      <c r="C25" s="1" t="s">
        <v>89</v>
      </c>
      <c r="D25" s="1">
        <v>6100.0</v>
      </c>
      <c r="E25" s="1" t="s">
        <v>86</v>
      </c>
      <c r="F25" s="1" t="s">
        <v>47</v>
      </c>
      <c r="G25" s="1" t="s">
        <v>90</v>
      </c>
      <c r="H25" s="1" t="s">
        <v>87</v>
      </c>
      <c r="I25" s="1" t="s">
        <v>38</v>
      </c>
      <c r="J25" s="1" t="s">
        <v>28</v>
      </c>
      <c r="K25" s="3" t="str">
        <f t="shared" si="1"/>
        <v>Eco Home</v>
      </c>
      <c r="L25" s="3" t="str">
        <f t="shared" si="2"/>
        <v>CHARGEBACK</v>
      </c>
      <c r="M25" s="3">
        <f>IFERROR(__xludf.DUMMYFUNCTION("IFERROR(VALUE(REGEXEXTRACT(G25,""\d+"")), """")"),65.0)</f>
        <v>65</v>
      </c>
      <c r="N25" s="3" t="str">
        <f t="shared" si="3"/>
        <v>EU</v>
      </c>
      <c r="O25" s="3">
        <f t="array" ref="O25">D25 * INDEX(rates!C:C, MATCH(1, (rates!A:A=B25)*(rates!B:B=E25), 0))</f>
        <v>6649</v>
      </c>
      <c r="P25" s="3">
        <f t="shared" si="4"/>
        <v>1</v>
      </c>
    </row>
    <row r="26">
      <c r="A26" s="1" t="s">
        <v>91</v>
      </c>
      <c r="B26" s="2">
        <v>46084.0</v>
      </c>
      <c r="C26" s="1" t="s">
        <v>85</v>
      </c>
      <c r="D26" s="1">
        <v>2800.0</v>
      </c>
      <c r="E26" s="1" t="s">
        <v>86</v>
      </c>
      <c r="F26" s="1" t="s">
        <v>19</v>
      </c>
      <c r="G26" s="1">
        <v>38.0</v>
      </c>
      <c r="H26" s="1" t="s">
        <v>92</v>
      </c>
      <c r="I26" s="1" t="s">
        <v>43</v>
      </c>
      <c r="J26" s="1" t="s">
        <v>44</v>
      </c>
      <c r="K26" s="3" t="str">
        <f t="shared" si="1"/>
        <v>City Pharma</v>
      </c>
      <c r="L26" s="3" t="str">
        <f t="shared" si="2"/>
        <v>SUCCESS</v>
      </c>
      <c r="M26" s="3" t="str">
        <f>IFERROR(__xludf.DUMMYFUNCTION("IFERROR(VALUE(REGEXEXTRACT(G26,""\d+"")), """")"),"")</f>
        <v/>
      </c>
      <c r="N26" s="3" t="str">
        <f t="shared" si="3"/>
        <v>EU</v>
      </c>
      <c r="O26" s="3">
        <f t="array" ref="O26">D26 * INDEX(rates!C:C, MATCH(1, (rates!A:A=B26)*(rates!B:B=E26), 0))</f>
        <v>3024</v>
      </c>
      <c r="P26" s="3">
        <f t="shared" si="4"/>
        <v>0</v>
      </c>
    </row>
    <row r="27">
      <c r="A27" s="1" t="s">
        <v>93</v>
      </c>
      <c r="B27" s="2">
        <v>46086.0</v>
      </c>
      <c r="C27" s="1" t="s">
        <v>89</v>
      </c>
      <c r="D27" s="1">
        <v>3300.0</v>
      </c>
      <c r="E27" s="1" t="s">
        <v>86</v>
      </c>
      <c r="F27" s="1" t="s">
        <v>73</v>
      </c>
      <c r="G27" s="1">
        <v>44.0</v>
      </c>
      <c r="H27" s="1" t="s">
        <v>87</v>
      </c>
      <c r="I27" s="1" t="s">
        <v>49</v>
      </c>
      <c r="J27" s="1" t="s">
        <v>33</v>
      </c>
      <c r="K27" s="3" t="str">
        <f t="shared" si="1"/>
        <v>Eco Home</v>
      </c>
      <c r="L27" s="3" t="str">
        <f t="shared" si="2"/>
        <v>FAILED</v>
      </c>
      <c r="M27" s="3" t="str">
        <f>IFERROR(__xludf.DUMMYFUNCTION("IFERROR(VALUE(REGEXEXTRACT(G27,""\d+"")), """")"),"")</f>
        <v/>
      </c>
      <c r="N27" s="3" t="str">
        <f t="shared" si="3"/>
        <v>EU</v>
      </c>
      <c r="O27" s="3">
        <f t="array" ref="O27">D27 * INDEX(rates!C:C, MATCH(1, (rates!A:A=B27)*(rates!B:B=E27), 0))</f>
        <v>3597</v>
      </c>
      <c r="P27" s="3">
        <f t="shared" si="4"/>
        <v>0</v>
      </c>
    </row>
    <row r="28">
      <c r="A28" s="1" t="s">
        <v>94</v>
      </c>
      <c r="B28" s="2">
        <v>46082.0</v>
      </c>
      <c r="C28" s="1" t="s">
        <v>95</v>
      </c>
      <c r="D28" s="1">
        <v>7200.0</v>
      </c>
      <c r="E28" s="1" t="s">
        <v>96</v>
      </c>
      <c r="F28" s="1" t="s">
        <v>19</v>
      </c>
      <c r="G28" s="1">
        <v>49.0</v>
      </c>
      <c r="H28" s="1" t="s">
        <v>97</v>
      </c>
      <c r="I28" s="1" t="s">
        <v>51</v>
      </c>
      <c r="J28" s="1" t="s">
        <v>28</v>
      </c>
      <c r="K28" s="3" t="str">
        <f t="shared" si="1"/>
        <v>Delta Travels</v>
      </c>
      <c r="L28" s="3" t="str">
        <f t="shared" si="2"/>
        <v>SUCCESS</v>
      </c>
      <c r="M28" s="3" t="str">
        <f>IFERROR(__xludf.DUMMYFUNCTION("IFERROR(VALUE(REGEXEXTRACT(G28,""\d+"")), """")"),"")</f>
        <v/>
      </c>
      <c r="N28" s="3" t="str">
        <f t="shared" si="3"/>
        <v>US</v>
      </c>
      <c r="O28" s="3">
        <f t="array" ref="O28">D28 * INDEX(rates!C:C, MATCH(1, (rates!A:A=B28)*(rates!B:B=E28), 0))</f>
        <v>7200</v>
      </c>
      <c r="P28" s="3">
        <f t="shared" si="4"/>
        <v>0</v>
      </c>
    </row>
    <row r="29">
      <c r="A29" s="1" t="s">
        <v>98</v>
      </c>
      <c r="B29" s="2">
        <v>46083.0</v>
      </c>
      <c r="C29" s="1" t="s">
        <v>99</v>
      </c>
      <c r="D29" s="1">
        <v>3100.0</v>
      </c>
      <c r="E29" s="1" t="s">
        <v>96</v>
      </c>
      <c r="F29" s="1" t="s">
        <v>31</v>
      </c>
      <c r="G29" s="1" t="s">
        <v>100</v>
      </c>
      <c r="H29" s="1" t="s">
        <v>101</v>
      </c>
      <c r="I29" s="1" t="s">
        <v>58</v>
      </c>
      <c r="J29" s="1" t="s">
        <v>28</v>
      </c>
      <c r="K29" s="3" t="str">
        <f t="shared" si="1"/>
        <v>Delta Travels</v>
      </c>
      <c r="L29" s="3" t="str">
        <f t="shared" si="2"/>
        <v>SUCCESS</v>
      </c>
      <c r="M29" s="3">
        <f>IFERROR(__xludf.DUMMYFUNCTION("IFERROR(VALUE(REGEXEXTRACT(G29,""\d+"")), """")"),41.0)</f>
        <v>41</v>
      </c>
      <c r="N29" s="3" t="str">
        <f t="shared" si="3"/>
        <v>US</v>
      </c>
      <c r="O29" s="3">
        <f t="array" ref="O29">D29 * INDEX(rates!C:C, MATCH(1, (rates!A:A=B29)*(rates!B:B=E29), 0))</f>
        <v>3100</v>
      </c>
      <c r="P29" s="3">
        <f t="shared" si="4"/>
        <v>0</v>
      </c>
    </row>
    <row r="30">
      <c r="A30" s="1" t="s">
        <v>102</v>
      </c>
      <c r="B30" s="2">
        <v>46085.0</v>
      </c>
      <c r="C30" s="1" t="s">
        <v>103</v>
      </c>
      <c r="D30" s="1">
        <v>2500.0</v>
      </c>
      <c r="E30" s="1" t="s">
        <v>96</v>
      </c>
      <c r="F30" s="1" t="s">
        <v>47</v>
      </c>
      <c r="G30" s="1" t="s">
        <v>104</v>
      </c>
      <c r="H30" s="1" t="s">
        <v>101</v>
      </c>
      <c r="I30" s="1" t="s">
        <v>61</v>
      </c>
      <c r="J30" s="1" t="s">
        <v>44</v>
      </c>
      <c r="K30" s="3" t="str">
        <f t="shared" si="1"/>
        <v>Delta Travels</v>
      </c>
      <c r="L30" s="3" t="str">
        <f t="shared" si="2"/>
        <v>CHARGEBACK</v>
      </c>
      <c r="M30" s="3">
        <f>IFERROR(__xludf.DUMMYFUNCTION("IFERROR(VALUE(REGEXEXTRACT(G30,""\d+"")), """")"),58.0)</f>
        <v>58</v>
      </c>
      <c r="N30" s="3" t="str">
        <f t="shared" si="3"/>
        <v>US</v>
      </c>
      <c r="O30" s="3">
        <f t="array" ref="O30">D30 * INDEX(rates!C:C, MATCH(1, (rates!A:A=B30)*(rates!B:B=E30), 0))</f>
        <v>2500</v>
      </c>
      <c r="P30" s="3">
        <f t="shared" si="4"/>
        <v>1</v>
      </c>
    </row>
    <row r="31">
      <c r="A31" s="1" t="s">
        <v>105</v>
      </c>
      <c r="B31" s="2">
        <v>46087.0</v>
      </c>
      <c r="C31" s="1" t="s">
        <v>95</v>
      </c>
      <c r="D31" s="1">
        <v>1800.0</v>
      </c>
      <c r="E31" s="1" t="s">
        <v>96</v>
      </c>
      <c r="F31" s="1" t="s">
        <v>73</v>
      </c>
      <c r="G31" s="1" t="s">
        <v>106</v>
      </c>
      <c r="H31" s="1" t="s">
        <v>101</v>
      </c>
      <c r="I31" s="1" t="s">
        <v>64</v>
      </c>
      <c r="J31" s="1" t="s">
        <v>23</v>
      </c>
      <c r="K31" s="3" t="str">
        <f t="shared" si="1"/>
        <v>Delta Travels</v>
      </c>
      <c r="L31" s="3" t="str">
        <f t="shared" si="2"/>
        <v>FAILED</v>
      </c>
      <c r="M31" s="3">
        <f>IFERROR(__xludf.DUMMYFUNCTION("IFERROR(VALUE(REGEXEXTRACT(G31,""\d+"")), """")"),47.0)</f>
        <v>47</v>
      </c>
      <c r="N31" s="3" t="str">
        <f t="shared" si="3"/>
        <v>US</v>
      </c>
      <c r="O31" s="3">
        <f t="array" ref="O31">D31 * INDEX(rates!C:C, MATCH(1, (rates!A:A=B31)*(rates!B:B=E31), 0))</f>
        <v>1800</v>
      </c>
      <c r="P31" s="3">
        <f t="shared" si="4"/>
        <v>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111</v>
      </c>
      <c r="B1" s="1" t="s">
        <v>4</v>
      </c>
      <c r="C1" s="1" t="s">
        <v>112</v>
      </c>
    </row>
    <row r="2">
      <c r="A2" s="2">
        <v>46082.0</v>
      </c>
      <c r="B2" s="1" t="s">
        <v>18</v>
      </c>
      <c r="C2" s="1">
        <v>0.0119</v>
      </c>
    </row>
    <row r="3">
      <c r="A3" s="2">
        <v>46082.0</v>
      </c>
      <c r="B3" s="1" t="s">
        <v>86</v>
      </c>
      <c r="C3" s="1">
        <v>1.08</v>
      </c>
    </row>
    <row r="4">
      <c r="A4" s="2">
        <v>46082.0</v>
      </c>
      <c r="B4" s="1" t="s">
        <v>96</v>
      </c>
      <c r="C4" s="1">
        <v>1.0</v>
      </c>
    </row>
    <row r="5">
      <c r="A5" s="2">
        <v>46083.0</v>
      </c>
      <c r="B5" s="1" t="s">
        <v>18</v>
      </c>
      <c r="C5" s="1">
        <v>0.012</v>
      </c>
    </row>
    <row r="6">
      <c r="A6" s="2">
        <v>46083.0</v>
      </c>
      <c r="B6" s="1" t="s">
        <v>86</v>
      </c>
      <c r="C6" s="1">
        <v>1.09</v>
      </c>
    </row>
    <row r="7">
      <c r="A7" s="2">
        <v>46083.0</v>
      </c>
      <c r="B7" s="1" t="s">
        <v>96</v>
      </c>
      <c r="C7" s="1">
        <v>1.0</v>
      </c>
    </row>
    <row r="8">
      <c r="A8" s="2">
        <v>46084.0</v>
      </c>
      <c r="B8" s="1" t="s">
        <v>18</v>
      </c>
      <c r="C8" s="1">
        <v>0.0121</v>
      </c>
    </row>
    <row r="9">
      <c r="A9" s="2">
        <v>46084.0</v>
      </c>
      <c r="B9" s="1" t="s">
        <v>86</v>
      </c>
      <c r="C9" s="1">
        <v>1.08</v>
      </c>
    </row>
    <row r="10">
      <c r="A10" s="2">
        <v>46084.0</v>
      </c>
      <c r="B10" s="1" t="s">
        <v>96</v>
      </c>
      <c r="C10" s="1">
        <v>1.0</v>
      </c>
    </row>
    <row r="11">
      <c r="A11" s="2">
        <v>46085.0</v>
      </c>
      <c r="B11" s="1" t="s">
        <v>18</v>
      </c>
      <c r="C11" s="1">
        <v>0.012</v>
      </c>
    </row>
    <row r="12">
      <c r="A12" s="2">
        <v>46085.0</v>
      </c>
      <c r="B12" s="1" t="s">
        <v>86</v>
      </c>
      <c r="C12" s="1">
        <v>1.07</v>
      </c>
    </row>
    <row r="13">
      <c r="A13" s="2">
        <v>46085.0</v>
      </c>
      <c r="B13" s="1" t="s">
        <v>96</v>
      </c>
      <c r="C13" s="1">
        <v>1.0</v>
      </c>
    </row>
    <row r="14">
      <c r="A14" s="2">
        <v>46086.0</v>
      </c>
      <c r="B14" s="1" t="s">
        <v>18</v>
      </c>
      <c r="C14" s="1">
        <v>0.0118</v>
      </c>
    </row>
    <row r="15">
      <c r="A15" s="2">
        <v>46086.0</v>
      </c>
      <c r="B15" s="1" t="s">
        <v>86</v>
      </c>
      <c r="C15" s="1">
        <v>1.09</v>
      </c>
    </row>
    <row r="16">
      <c r="A16" s="2">
        <v>46086.0</v>
      </c>
      <c r="B16" s="1" t="s">
        <v>96</v>
      </c>
      <c r="C16" s="1">
        <v>1.0</v>
      </c>
    </row>
    <row r="17">
      <c r="A17" s="2">
        <v>46087.0</v>
      </c>
      <c r="B17" s="1" t="s">
        <v>18</v>
      </c>
      <c r="C17" s="1">
        <v>0.0119</v>
      </c>
    </row>
    <row r="18">
      <c r="A18" s="2">
        <v>46087.0</v>
      </c>
      <c r="B18" s="1" t="s">
        <v>86</v>
      </c>
      <c r="C18" s="1">
        <v>1.08</v>
      </c>
    </row>
    <row r="19">
      <c r="A19" s="2">
        <v>46087.0</v>
      </c>
      <c r="B19" s="1" t="s">
        <v>96</v>
      </c>
      <c r="C19" s="1">
        <v>1.0</v>
      </c>
    </row>
  </sheetData>
  <drawing r:id="rId1"/>
</worksheet>
</file>